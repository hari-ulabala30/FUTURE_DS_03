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96" yWindow="60" windowWidth="22932" windowHeight="9504" tabRatio="884" activeTab="7"/>
  </bookViews>
  <sheets>
    <sheet name="Channel_Performance" sheetId="5" r:id="rId1"/>
    <sheet name="Monthly_Trend" sheetId="8" r:id="rId2"/>
    <sheet name="dataset " sheetId="1" r:id="rId3"/>
    <sheet name="KPI_Summary" sheetId="2" r:id="rId4"/>
    <sheet name="Funnel_Analysis" sheetId="3" r:id="rId5"/>
    <sheet name="Channel_Analysis" sheetId="6" r:id="rId6"/>
    <sheet name="Drop_Off_Analysis" sheetId="9" r:id="rId7"/>
    <sheet name="Executive Dashboard" sheetId="10" r:id="rId8"/>
  </sheets>
  <externalReferences>
    <externalReference r:id="rId9"/>
  </externalReferences>
  <calcPr calcId="124519"/>
  <pivotCaches>
    <pivotCache cacheId="7" r:id="rId10"/>
  </pivotCaches>
</workbook>
</file>

<file path=xl/calcChain.xml><?xml version="1.0" encoding="utf-8"?>
<calcChain xmlns="http://schemas.openxmlformats.org/spreadsheetml/2006/main">
  <c r="B5" i="2"/>
  <c r="B4"/>
  <c r="B6" s="1"/>
  <c r="D2" i="9"/>
  <c r="E3"/>
  <c r="E2"/>
  <c r="D3"/>
  <c r="G6" i="8"/>
  <c r="G7"/>
  <c r="G8"/>
  <c r="G9"/>
  <c r="G10"/>
  <c r="F6"/>
  <c r="F7"/>
  <c r="F8"/>
  <c r="F9"/>
  <c r="F10"/>
  <c r="G5"/>
  <c r="F5"/>
  <c r="F3" i="6"/>
  <c r="F4"/>
  <c r="F2"/>
  <c r="E3"/>
  <c r="E4"/>
  <c r="E2"/>
  <c r="B3" i="2"/>
  <c r="B2"/>
  <c r="G2" i="1"/>
  <c r="G3"/>
  <c r="G4"/>
  <c r="G5"/>
  <c r="G6"/>
  <c r="G7"/>
  <c r="G8"/>
  <c r="G9"/>
  <c r="G10"/>
  <c r="G11"/>
  <c r="G12"/>
  <c r="G13"/>
  <c r="G14"/>
  <c r="G15"/>
  <c r="G16"/>
  <c r="G17"/>
  <c r="G18"/>
  <c r="G19"/>
  <c r="F2"/>
  <c r="F3"/>
  <c r="F4"/>
  <c r="F5"/>
  <c r="F6"/>
  <c r="F7"/>
  <c r="F8"/>
  <c r="F9"/>
  <c r="F10"/>
  <c r="F11"/>
  <c r="F12"/>
  <c r="F13"/>
  <c r="F14"/>
  <c r="F15"/>
  <c r="F16"/>
  <c r="F17"/>
  <c r="F18"/>
  <c r="F19"/>
  <c r="B7" i="2" l="1"/>
</calcChain>
</file>

<file path=xl/sharedStrings.xml><?xml version="1.0" encoding="utf-8"?>
<sst xmlns="http://schemas.openxmlformats.org/spreadsheetml/2006/main" count="104" uniqueCount="43">
  <si>
    <t>Month</t>
  </si>
  <si>
    <t>Channel</t>
  </si>
  <si>
    <t>Visitors</t>
  </si>
  <si>
    <t>Leads</t>
  </si>
  <si>
    <t>Customers</t>
  </si>
  <si>
    <t>Jan</t>
  </si>
  <si>
    <t>Google Ads</t>
  </si>
  <si>
    <t>Facebook</t>
  </si>
  <si>
    <t>LinkedIn</t>
  </si>
  <si>
    <t>Feb</t>
  </si>
  <si>
    <t>Mar</t>
  </si>
  <si>
    <t>Apr</t>
  </si>
  <si>
    <t>May</t>
  </si>
  <si>
    <t>Jun</t>
  </si>
  <si>
    <t>Visitor-to-Lead %</t>
  </si>
  <si>
    <t>Lead-to-Customer %</t>
  </si>
  <si>
    <t>Metric</t>
  </si>
  <si>
    <t>Value</t>
  </si>
  <si>
    <t>Total Visitors</t>
  </si>
  <si>
    <t>Total Leads</t>
  </si>
  <si>
    <t>Total Customers</t>
  </si>
  <si>
    <t>Visitor-to-Lead Conversion Rate</t>
  </si>
  <si>
    <t>Lead-to-Customer Conversion Rate</t>
  </si>
  <si>
    <t>Overall Visitor-to-Customer Conversion Rate</t>
  </si>
  <si>
    <t>Stage</t>
  </si>
  <si>
    <t>Count</t>
  </si>
  <si>
    <t>Row Labels</t>
  </si>
  <si>
    <t>Grand Total</t>
  </si>
  <si>
    <t>Sum of Customers</t>
  </si>
  <si>
    <t>Values</t>
  </si>
  <si>
    <t>Sum of Visitors</t>
  </si>
  <si>
    <t>Sum of Leads</t>
  </si>
  <si>
    <t>Visitor→Lead %</t>
  </si>
  <si>
    <t>Lead→Customer %</t>
  </si>
  <si>
    <t>Stage Transition</t>
  </si>
  <si>
    <t>Start</t>
  </si>
  <si>
    <t>End</t>
  </si>
  <si>
    <t>Conversion Rate</t>
  </si>
  <si>
    <t>Visitors → Leads</t>
  </si>
  <si>
    <t>Leads → Customers</t>
  </si>
  <si>
    <t xml:space="preserve">Drop-Off Rate </t>
  </si>
  <si>
    <t>Marketing Funnel &amp; Conversion Performance Analysis</t>
  </si>
  <si>
    <t>Total Visitors = 17,250
Total Leads = 2,090
Total Customers = 361
Visitor→Lead = 12.12%
Lead→Customer = 17.27%
Overall Conversion = 2.09%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</si>
</sst>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NumberFormat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" applyNumberFormat="1" applyFont="1" applyAlignment="1">
      <alignment horizontal="right" wrapText="1"/>
    </xf>
    <xf numFmtId="10" fontId="0" fillId="0" borderId="0" xfId="1" applyNumberFormat="1" applyFont="1" applyAlignment="1">
      <alignment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10" fontId="2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3">
    <dxf>
      <alignment horizontal="general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general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numFmt numFmtId="0" formatCode="General"/>
      <alignment horizontal="right" vertical="bottom" textRotation="0" wrapText="1" indent="0" relativeIndent="0" justifyLastLine="0" shrinkToFit="0" mergeCell="0" readingOrder="0"/>
    </dxf>
    <dxf>
      <numFmt numFmtId="0" formatCode="General"/>
      <alignment horizontal="right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relativeIndent="0" justifyLastLine="0" shrinkToFit="0" mergeCell="0" readingOrder="0"/>
    </dxf>
    <dxf>
      <alignment horizontal="right" vertical="bottom" textRotation="0" wrapText="1" indent="0" relativeIndent="0" justifyLastLine="0" shrinkToFit="0" mergeCell="0" readingOrder="0"/>
    </dxf>
    <dxf>
      <alignment horizontal="right" vertical="bottom" textRotation="0" wrapText="1" indent="0" relativeIndent="0" justifyLastLine="0" shrinkToFit="0" mergeCell="0" readingOrder="0"/>
    </dxf>
    <dxf>
      <alignment horizontal="right" vertical="bottom" textRotation="0" wrapText="1" indent="0" relativeIndent="0" justifyLastLine="0" shrinkToFit="0" mergeCell="0" readingOrder="0"/>
    </dxf>
    <dxf>
      <alignment horizontal="right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[Marketing_Funnel_Conversion_Analysis.xlsx]Channel_Performance!PivotTable2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Channel Funnel Performance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Channel_Performance!$B$3:$B$4</c:f>
              <c:strCache>
                <c:ptCount val="1"/>
                <c:pt idx="0">
                  <c:v>Sum of Visitors</c:v>
                </c:pt>
              </c:strCache>
            </c:strRef>
          </c:tx>
          <c:cat>
            <c:strRef>
              <c:f>Channel_Performance!$A$5:$A$8</c:f>
              <c:strCache>
                <c:ptCount val="3"/>
                <c:pt idx="0">
                  <c:v>Facebook</c:v>
                </c:pt>
                <c:pt idx="1">
                  <c:v>Google Ads</c:v>
                </c:pt>
                <c:pt idx="2">
                  <c:v>LinkedIn</c:v>
                </c:pt>
              </c:strCache>
            </c:strRef>
          </c:cat>
          <c:val>
            <c:numRef>
              <c:f>Channel_Performance!$B$5:$B$8</c:f>
              <c:numCache>
                <c:formatCode>General</c:formatCode>
                <c:ptCount val="3"/>
                <c:pt idx="0">
                  <c:v>6150</c:v>
                </c:pt>
                <c:pt idx="1">
                  <c:v>7350</c:v>
                </c:pt>
                <c:pt idx="2">
                  <c:v>3750</c:v>
                </c:pt>
              </c:numCache>
            </c:numRef>
          </c:val>
        </c:ser>
        <c:ser>
          <c:idx val="1"/>
          <c:order val="1"/>
          <c:tx>
            <c:strRef>
              <c:f>Channel_Performance!$C$3:$C$4</c:f>
              <c:strCache>
                <c:ptCount val="1"/>
                <c:pt idx="0">
                  <c:v>Sum of Leads</c:v>
                </c:pt>
              </c:strCache>
            </c:strRef>
          </c:tx>
          <c:cat>
            <c:strRef>
              <c:f>Channel_Performance!$A$5:$A$8</c:f>
              <c:strCache>
                <c:ptCount val="3"/>
                <c:pt idx="0">
                  <c:v>Facebook</c:v>
                </c:pt>
                <c:pt idx="1">
                  <c:v>Google Ads</c:v>
                </c:pt>
                <c:pt idx="2">
                  <c:v>LinkedIn</c:v>
                </c:pt>
              </c:strCache>
            </c:strRef>
          </c:cat>
          <c:val>
            <c:numRef>
              <c:f>Channel_Performance!$C$5:$C$8</c:f>
              <c:numCache>
                <c:formatCode>General</c:formatCode>
                <c:ptCount val="3"/>
                <c:pt idx="0">
                  <c:v>615</c:v>
                </c:pt>
                <c:pt idx="1">
                  <c:v>920</c:v>
                </c:pt>
                <c:pt idx="2">
                  <c:v>555</c:v>
                </c:pt>
              </c:numCache>
            </c:numRef>
          </c:val>
        </c:ser>
        <c:ser>
          <c:idx val="2"/>
          <c:order val="2"/>
          <c:tx>
            <c:strRef>
              <c:f>Channel_Performance!$D$3:$D$4</c:f>
              <c:strCache>
                <c:ptCount val="1"/>
                <c:pt idx="0">
                  <c:v>Sum of Customers</c:v>
                </c:pt>
              </c:strCache>
            </c:strRef>
          </c:tx>
          <c:cat>
            <c:strRef>
              <c:f>Channel_Performance!$A$5:$A$8</c:f>
              <c:strCache>
                <c:ptCount val="3"/>
                <c:pt idx="0">
                  <c:v>Facebook</c:v>
                </c:pt>
                <c:pt idx="1">
                  <c:v>Google Ads</c:v>
                </c:pt>
                <c:pt idx="2">
                  <c:v>LinkedIn</c:v>
                </c:pt>
              </c:strCache>
            </c:strRef>
          </c:cat>
          <c:val>
            <c:numRef>
              <c:f>Channel_Performance!$D$5:$D$8</c:f>
              <c:numCache>
                <c:formatCode>General</c:formatCode>
                <c:ptCount val="3"/>
                <c:pt idx="0">
                  <c:v>80</c:v>
                </c:pt>
                <c:pt idx="1">
                  <c:v>125</c:v>
                </c:pt>
                <c:pt idx="2">
                  <c:v>156</c:v>
                </c:pt>
              </c:numCache>
            </c:numRef>
          </c:val>
        </c:ser>
        <c:dLbls/>
        <c:axId val="130196608"/>
        <c:axId val="130208128"/>
      </c:barChart>
      <c:catAx>
        <c:axId val="130196608"/>
        <c:scaling>
          <c:orientation val="minMax"/>
        </c:scaling>
        <c:axPos val="b"/>
        <c:majorTickMark val="none"/>
        <c:tickLblPos val="nextTo"/>
        <c:crossAx val="130208128"/>
        <c:crosses val="autoZero"/>
        <c:auto val="1"/>
        <c:lblAlgn val="ctr"/>
        <c:lblOffset val="100"/>
      </c:catAx>
      <c:valAx>
        <c:axId val="13020812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301966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[Marketing_Funnel_Conversion_Analysis.xlsx]Monthly_Trend!PivotTable4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 Funnel Performance Trend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lineChart>
        <c:grouping val="standard"/>
        <c:ser>
          <c:idx val="0"/>
          <c:order val="0"/>
          <c:tx>
            <c:strRef>
              <c:f>Monthly_Trend!$B$3:$B$4</c:f>
              <c:strCache>
                <c:ptCount val="1"/>
                <c:pt idx="0">
                  <c:v>Sum of Visitors</c:v>
                </c:pt>
              </c:strCache>
            </c:strRef>
          </c:tx>
          <c:cat>
            <c:strRef>
              <c:f>Monthly_Trend!$A$5:$A$11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Monthly_Trend!$B$5:$B$11</c:f>
              <c:numCache>
                <c:formatCode>General</c:formatCode>
                <c:ptCount val="6"/>
                <c:pt idx="0">
                  <c:v>2400</c:v>
                </c:pt>
                <c:pt idx="1">
                  <c:v>2600</c:v>
                </c:pt>
                <c:pt idx="2">
                  <c:v>2800</c:v>
                </c:pt>
                <c:pt idx="3">
                  <c:v>3000</c:v>
                </c:pt>
                <c:pt idx="4">
                  <c:v>3150</c:v>
                </c:pt>
                <c:pt idx="5">
                  <c:v>3300</c:v>
                </c:pt>
              </c:numCache>
            </c:numRef>
          </c:val>
        </c:ser>
        <c:ser>
          <c:idx val="1"/>
          <c:order val="1"/>
          <c:tx>
            <c:strRef>
              <c:f>Monthly_Trend!$C$3:$C$4</c:f>
              <c:strCache>
                <c:ptCount val="1"/>
                <c:pt idx="0">
                  <c:v>Sum of Leads</c:v>
                </c:pt>
              </c:strCache>
            </c:strRef>
          </c:tx>
          <c:cat>
            <c:strRef>
              <c:f>Monthly_Trend!$A$5:$A$11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Monthly_Trend!$C$5:$C$11</c:f>
              <c:numCache>
                <c:formatCode>General</c:formatCode>
                <c:ptCount val="6"/>
                <c:pt idx="0">
                  <c:v>290</c:v>
                </c:pt>
                <c:pt idx="1">
                  <c:v>320</c:v>
                </c:pt>
                <c:pt idx="2">
                  <c:v>340</c:v>
                </c:pt>
                <c:pt idx="3">
                  <c:v>360</c:v>
                </c:pt>
                <c:pt idx="4">
                  <c:v>380</c:v>
                </c:pt>
                <c:pt idx="5">
                  <c:v>400</c:v>
                </c:pt>
              </c:numCache>
            </c:numRef>
          </c:val>
        </c:ser>
        <c:ser>
          <c:idx val="2"/>
          <c:order val="2"/>
          <c:tx>
            <c:strRef>
              <c:f>Monthly_Trend!$D$3:$D$4</c:f>
              <c:strCache>
                <c:ptCount val="1"/>
                <c:pt idx="0">
                  <c:v>Sum of Customers</c:v>
                </c:pt>
              </c:strCache>
            </c:strRef>
          </c:tx>
          <c:cat>
            <c:strRef>
              <c:f>Monthly_Trend!$A$5:$A$11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Monthly_Trend!$D$5:$D$11</c:f>
              <c:numCache>
                <c:formatCode>General</c:formatCode>
                <c:ptCount val="6"/>
                <c:pt idx="0">
                  <c:v>45</c:v>
                </c:pt>
                <c:pt idx="1">
                  <c:v>52</c:v>
                </c:pt>
                <c:pt idx="2">
                  <c:v>58</c:v>
                </c:pt>
                <c:pt idx="3">
                  <c:v>63</c:v>
                </c:pt>
                <c:pt idx="4">
                  <c:v>69</c:v>
                </c:pt>
                <c:pt idx="5">
                  <c:v>74</c:v>
                </c:pt>
              </c:numCache>
            </c:numRef>
          </c:val>
        </c:ser>
        <c:dLbls/>
        <c:marker val="1"/>
        <c:axId val="174276992"/>
        <c:axId val="174278528"/>
      </c:lineChart>
      <c:catAx>
        <c:axId val="174276992"/>
        <c:scaling>
          <c:orientation val="minMax"/>
        </c:scaling>
        <c:axPos val="b"/>
        <c:majorTickMark val="none"/>
        <c:tickLblPos val="nextTo"/>
        <c:crossAx val="174278528"/>
        <c:crosses val="autoZero"/>
        <c:auto val="1"/>
        <c:lblAlgn val="ctr"/>
        <c:lblOffset val="100"/>
      </c:catAx>
      <c:valAx>
        <c:axId val="174278528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1742769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Marketing Funnel Performance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Funnel_Analysis!$B$1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Funnel_Analysis!$A$2:$A$4</c:f>
              <c:strCache>
                <c:ptCount val="3"/>
                <c:pt idx="0">
                  <c:v>Visitors</c:v>
                </c:pt>
                <c:pt idx="1">
                  <c:v>Leads</c:v>
                </c:pt>
                <c:pt idx="2">
                  <c:v>Customers</c:v>
                </c:pt>
              </c:strCache>
            </c:strRef>
          </c:cat>
          <c:val>
            <c:numRef>
              <c:f>Funnel_Analysis!$B$2:$B$4</c:f>
              <c:numCache>
                <c:formatCode>General</c:formatCode>
                <c:ptCount val="3"/>
                <c:pt idx="0">
                  <c:v>17250</c:v>
                </c:pt>
                <c:pt idx="1">
                  <c:v>2090</c:v>
                </c:pt>
                <c:pt idx="2">
                  <c:v>361</c:v>
                </c:pt>
              </c:numCache>
            </c:numRef>
          </c:val>
        </c:ser>
        <c:dLbls/>
        <c:axId val="62726528"/>
        <c:axId val="62728064"/>
      </c:barChart>
      <c:catAx>
        <c:axId val="62726528"/>
        <c:scaling>
          <c:orientation val="minMax"/>
        </c:scaling>
        <c:axPos val="b"/>
        <c:majorTickMark val="none"/>
        <c:tickLblPos val="nextTo"/>
        <c:crossAx val="62728064"/>
        <c:crosses val="autoZero"/>
        <c:auto val="1"/>
        <c:lblAlgn val="ctr"/>
        <c:lblOffset val="100"/>
      </c:catAx>
      <c:valAx>
        <c:axId val="6272806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627265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Channel Performance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Channel_Analysis!$A$2</c:f>
              <c:strCache>
                <c:ptCount val="1"/>
                <c:pt idx="0">
                  <c:v>Facebook</c:v>
                </c:pt>
              </c:strCache>
            </c:strRef>
          </c:tx>
          <c:cat>
            <c:strRef>
              <c:f>Channel_Analysis!$B$1:$D$1</c:f>
              <c:strCache>
                <c:ptCount val="3"/>
                <c:pt idx="0">
                  <c:v>Visitors</c:v>
                </c:pt>
                <c:pt idx="1">
                  <c:v>Leads</c:v>
                </c:pt>
                <c:pt idx="2">
                  <c:v>Customers</c:v>
                </c:pt>
              </c:strCache>
            </c:strRef>
          </c:cat>
          <c:val>
            <c:numRef>
              <c:f>Channel_Analysis!$B$2:$D$2</c:f>
              <c:numCache>
                <c:formatCode>General</c:formatCode>
                <c:ptCount val="3"/>
                <c:pt idx="0">
                  <c:v>6150</c:v>
                </c:pt>
                <c:pt idx="1">
                  <c:v>615</c:v>
                </c:pt>
                <c:pt idx="2">
                  <c:v>80</c:v>
                </c:pt>
              </c:numCache>
            </c:numRef>
          </c:val>
        </c:ser>
        <c:ser>
          <c:idx val="1"/>
          <c:order val="1"/>
          <c:tx>
            <c:strRef>
              <c:f>Channel_Analysis!$A$3</c:f>
              <c:strCache>
                <c:ptCount val="1"/>
                <c:pt idx="0">
                  <c:v>Google Ads</c:v>
                </c:pt>
              </c:strCache>
            </c:strRef>
          </c:tx>
          <c:cat>
            <c:strRef>
              <c:f>Channel_Analysis!$B$1:$D$1</c:f>
              <c:strCache>
                <c:ptCount val="3"/>
                <c:pt idx="0">
                  <c:v>Visitors</c:v>
                </c:pt>
                <c:pt idx="1">
                  <c:v>Leads</c:v>
                </c:pt>
                <c:pt idx="2">
                  <c:v>Customers</c:v>
                </c:pt>
              </c:strCache>
            </c:strRef>
          </c:cat>
          <c:val>
            <c:numRef>
              <c:f>Channel_Analysis!$B$3:$D$3</c:f>
              <c:numCache>
                <c:formatCode>General</c:formatCode>
                <c:ptCount val="3"/>
                <c:pt idx="0">
                  <c:v>7350</c:v>
                </c:pt>
                <c:pt idx="1">
                  <c:v>920</c:v>
                </c:pt>
                <c:pt idx="2">
                  <c:v>125</c:v>
                </c:pt>
              </c:numCache>
            </c:numRef>
          </c:val>
        </c:ser>
        <c:ser>
          <c:idx val="2"/>
          <c:order val="2"/>
          <c:tx>
            <c:strRef>
              <c:f>Channel_Analysis!$A$4</c:f>
              <c:strCache>
                <c:ptCount val="1"/>
                <c:pt idx="0">
                  <c:v>LinkedIn</c:v>
                </c:pt>
              </c:strCache>
            </c:strRef>
          </c:tx>
          <c:cat>
            <c:strRef>
              <c:f>Channel_Analysis!$B$1:$D$1</c:f>
              <c:strCache>
                <c:ptCount val="3"/>
                <c:pt idx="0">
                  <c:v>Visitors</c:v>
                </c:pt>
                <c:pt idx="1">
                  <c:v>Leads</c:v>
                </c:pt>
                <c:pt idx="2">
                  <c:v>Customers</c:v>
                </c:pt>
              </c:strCache>
            </c:strRef>
          </c:cat>
          <c:val>
            <c:numRef>
              <c:f>Channel_Analysis!$B$4:$D$4</c:f>
              <c:numCache>
                <c:formatCode>General</c:formatCode>
                <c:ptCount val="3"/>
                <c:pt idx="0">
                  <c:v>3750</c:v>
                </c:pt>
                <c:pt idx="1">
                  <c:v>555</c:v>
                </c:pt>
                <c:pt idx="2">
                  <c:v>156</c:v>
                </c:pt>
              </c:numCache>
            </c:numRef>
          </c:val>
        </c:ser>
        <c:dLbls/>
        <c:axId val="70542080"/>
        <c:axId val="70543616"/>
      </c:barChart>
      <c:catAx>
        <c:axId val="70542080"/>
        <c:scaling>
          <c:orientation val="minMax"/>
        </c:scaling>
        <c:axPos val="b"/>
        <c:majorTickMark val="none"/>
        <c:tickLblPos val="nextTo"/>
        <c:crossAx val="70543616"/>
        <c:crosses val="autoZero"/>
        <c:auto val="1"/>
        <c:lblAlgn val="ctr"/>
        <c:lblOffset val="100"/>
      </c:catAx>
      <c:valAx>
        <c:axId val="7054361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705420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Funnel Drop-Off Analysis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Drop_Off_Analysis!$A$2</c:f>
              <c:strCache>
                <c:ptCount val="1"/>
                <c:pt idx="0">
                  <c:v>Visitors → Leads</c:v>
                </c:pt>
              </c:strCache>
            </c:strRef>
          </c:tx>
          <c:cat>
            <c:strRef>
              <c:f>Drop_Off_Analysis!$B$1:$E$1</c:f>
              <c:strCache>
                <c:ptCount val="4"/>
                <c:pt idx="0">
                  <c:v>Start</c:v>
                </c:pt>
                <c:pt idx="1">
                  <c:v>End</c:v>
                </c:pt>
                <c:pt idx="2">
                  <c:v>Conversion Rate</c:v>
                </c:pt>
                <c:pt idx="3">
                  <c:v>Drop-Off Rate </c:v>
                </c:pt>
              </c:strCache>
            </c:strRef>
          </c:cat>
          <c:val>
            <c:numRef>
              <c:f>Drop_Off_Analysis!$B$2:$E$2</c:f>
              <c:numCache>
                <c:formatCode>General</c:formatCode>
                <c:ptCount val="4"/>
                <c:pt idx="0">
                  <c:v>17250</c:v>
                </c:pt>
                <c:pt idx="1">
                  <c:v>2090</c:v>
                </c:pt>
                <c:pt idx="2" formatCode="0.00%">
                  <c:v>0.12115942028985507</c:v>
                </c:pt>
                <c:pt idx="3" formatCode="0.00%">
                  <c:v>0.87884057971014495</c:v>
                </c:pt>
              </c:numCache>
            </c:numRef>
          </c:val>
        </c:ser>
        <c:ser>
          <c:idx val="1"/>
          <c:order val="1"/>
          <c:tx>
            <c:strRef>
              <c:f>Drop_Off_Analysis!$A$3</c:f>
              <c:strCache>
                <c:ptCount val="1"/>
                <c:pt idx="0">
                  <c:v>Leads → Customers</c:v>
                </c:pt>
              </c:strCache>
            </c:strRef>
          </c:tx>
          <c:cat>
            <c:strRef>
              <c:f>Drop_Off_Analysis!$B$1:$E$1</c:f>
              <c:strCache>
                <c:ptCount val="4"/>
                <c:pt idx="0">
                  <c:v>Start</c:v>
                </c:pt>
                <c:pt idx="1">
                  <c:v>End</c:v>
                </c:pt>
                <c:pt idx="2">
                  <c:v>Conversion Rate</c:v>
                </c:pt>
                <c:pt idx="3">
                  <c:v>Drop-Off Rate </c:v>
                </c:pt>
              </c:strCache>
            </c:strRef>
          </c:cat>
          <c:val>
            <c:numRef>
              <c:f>Drop_Off_Analysis!$B$3:$E$3</c:f>
              <c:numCache>
                <c:formatCode>General</c:formatCode>
                <c:ptCount val="4"/>
                <c:pt idx="0">
                  <c:v>2090</c:v>
                </c:pt>
                <c:pt idx="1">
                  <c:v>361</c:v>
                </c:pt>
                <c:pt idx="2" formatCode="0.00%">
                  <c:v>0.17272727272727273</c:v>
                </c:pt>
                <c:pt idx="3" formatCode="0.00%">
                  <c:v>0.82727272727272727</c:v>
                </c:pt>
              </c:numCache>
            </c:numRef>
          </c:val>
        </c:ser>
        <c:dLbls/>
        <c:axId val="156369664"/>
        <c:axId val="174225280"/>
      </c:barChart>
      <c:catAx>
        <c:axId val="156369664"/>
        <c:scaling>
          <c:orientation val="minMax"/>
        </c:scaling>
        <c:axPos val="b"/>
        <c:majorTickMark val="none"/>
        <c:tickLblPos val="nextTo"/>
        <c:crossAx val="174225280"/>
        <c:crosses val="autoZero"/>
        <c:auto val="1"/>
        <c:lblAlgn val="ctr"/>
        <c:lblOffset val="100"/>
      </c:catAx>
      <c:valAx>
        <c:axId val="17422528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63696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Marketing Funnel Performance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Funnel_Analysis!$B$1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Funnel_Analysis!$A$2:$A$4</c:f>
              <c:strCache>
                <c:ptCount val="3"/>
                <c:pt idx="0">
                  <c:v>Visitors</c:v>
                </c:pt>
                <c:pt idx="1">
                  <c:v>Leads</c:v>
                </c:pt>
                <c:pt idx="2">
                  <c:v>Customers</c:v>
                </c:pt>
              </c:strCache>
            </c:strRef>
          </c:cat>
          <c:val>
            <c:numRef>
              <c:f>Funnel_Analysis!$B$2:$B$4</c:f>
              <c:numCache>
                <c:formatCode>General</c:formatCode>
                <c:ptCount val="3"/>
                <c:pt idx="0">
                  <c:v>17250</c:v>
                </c:pt>
                <c:pt idx="1">
                  <c:v>2090</c:v>
                </c:pt>
                <c:pt idx="2">
                  <c:v>361</c:v>
                </c:pt>
              </c:numCache>
            </c:numRef>
          </c:val>
        </c:ser>
        <c:axId val="181131520"/>
        <c:axId val="181134848"/>
      </c:barChart>
      <c:catAx>
        <c:axId val="181131520"/>
        <c:scaling>
          <c:orientation val="minMax"/>
        </c:scaling>
        <c:axPos val="b"/>
        <c:majorTickMark val="none"/>
        <c:tickLblPos val="nextTo"/>
        <c:crossAx val="181134848"/>
        <c:crosses val="autoZero"/>
        <c:auto val="1"/>
        <c:lblAlgn val="ctr"/>
        <c:lblOffset val="100"/>
      </c:catAx>
      <c:valAx>
        <c:axId val="18113484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11315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[Marketing_Funnel_Conversion_Analysis.xlsx]Channel_Performance!PivotTable2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Channel Funnel Performance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  <c:dLbl>
          <c:idx val="0"/>
          <c:delete val="1"/>
        </c:dLbl>
      </c:pivotFmt>
      <c:pivotFmt>
        <c:idx val="5"/>
        <c:marker>
          <c:symbol val="none"/>
        </c:marker>
        <c:dLbl>
          <c:idx val="0"/>
          <c:delete val="1"/>
        </c:dLbl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Channel_Performance!$B$3:$B$4</c:f>
              <c:strCache>
                <c:ptCount val="1"/>
                <c:pt idx="0">
                  <c:v>Sum of Visitors</c:v>
                </c:pt>
              </c:strCache>
            </c:strRef>
          </c:tx>
          <c:cat>
            <c:strRef>
              <c:f>Channel_Performance!$A$5:$A$8</c:f>
              <c:strCache>
                <c:ptCount val="3"/>
                <c:pt idx="0">
                  <c:v>Facebook</c:v>
                </c:pt>
                <c:pt idx="1">
                  <c:v>Google Ads</c:v>
                </c:pt>
                <c:pt idx="2">
                  <c:v>LinkedIn</c:v>
                </c:pt>
              </c:strCache>
            </c:strRef>
          </c:cat>
          <c:val>
            <c:numRef>
              <c:f>Channel_Performance!$B$5:$B$8</c:f>
              <c:numCache>
                <c:formatCode>General</c:formatCode>
                <c:ptCount val="3"/>
                <c:pt idx="0">
                  <c:v>6150</c:v>
                </c:pt>
                <c:pt idx="1">
                  <c:v>7350</c:v>
                </c:pt>
                <c:pt idx="2">
                  <c:v>3750</c:v>
                </c:pt>
              </c:numCache>
            </c:numRef>
          </c:val>
        </c:ser>
        <c:ser>
          <c:idx val="1"/>
          <c:order val="1"/>
          <c:tx>
            <c:strRef>
              <c:f>Channel_Performance!$C$3:$C$4</c:f>
              <c:strCache>
                <c:ptCount val="1"/>
                <c:pt idx="0">
                  <c:v>Sum of Leads</c:v>
                </c:pt>
              </c:strCache>
            </c:strRef>
          </c:tx>
          <c:cat>
            <c:strRef>
              <c:f>Channel_Performance!$A$5:$A$8</c:f>
              <c:strCache>
                <c:ptCount val="3"/>
                <c:pt idx="0">
                  <c:v>Facebook</c:v>
                </c:pt>
                <c:pt idx="1">
                  <c:v>Google Ads</c:v>
                </c:pt>
                <c:pt idx="2">
                  <c:v>LinkedIn</c:v>
                </c:pt>
              </c:strCache>
            </c:strRef>
          </c:cat>
          <c:val>
            <c:numRef>
              <c:f>Channel_Performance!$C$5:$C$8</c:f>
              <c:numCache>
                <c:formatCode>General</c:formatCode>
                <c:ptCount val="3"/>
                <c:pt idx="0">
                  <c:v>615</c:v>
                </c:pt>
                <c:pt idx="1">
                  <c:v>920</c:v>
                </c:pt>
                <c:pt idx="2">
                  <c:v>555</c:v>
                </c:pt>
              </c:numCache>
            </c:numRef>
          </c:val>
        </c:ser>
        <c:ser>
          <c:idx val="2"/>
          <c:order val="2"/>
          <c:tx>
            <c:strRef>
              <c:f>Channel_Performance!$D$3:$D$4</c:f>
              <c:strCache>
                <c:ptCount val="1"/>
                <c:pt idx="0">
                  <c:v>Sum of Customers</c:v>
                </c:pt>
              </c:strCache>
            </c:strRef>
          </c:tx>
          <c:cat>
            <c:strRef>
              <c:f>Channel_Performance!$A$5:$A$8</c:f>
              <c:strCache>
                <c:ptCount val="3"/>
                <c:pt idx="0">
                  <c:v>Facebook</c:v>
                </c:pt>
                <c:pt idx="1">
                  <c:v>Google Ads</c:v>
                </c:pt>
                <c:pt idx="2">
                  <c:v>LinkedIn</c:v>
                </c:pt>
              </c:strCache>
            </c:strRef>
          </c:cat>
          <c:val>
            <c:numRef>
              <c:f>Channel_Performance!$D$5:$D$8</c:f>
              <c:numCache>
                <c:formatCode>General</c:formatCode>
                <c:ptCount val="3"/>
                <c:pt idx="0">
                  <c:v>80</c:v>
                </c:pt>
                <c:pt idx="1">
                  <c:v>125</c:v>
                </c:pt>
                <c:pt idx="2">
                  <c:v>156</c:v>
                </c:pt>
              </c:numCache>
            </c:numRef>
          </c:val>
        </c:ser>
        <c:axId val="177091712"/>
        <c:axId val="177551232"/>
      </c:barChart>
      <c:catAx>
        <c:axId val="177091712"/>
        <c:scaling>
          <c:orientation val="minMax"/>
        </c:scaling>
        <c:axPos val="b"/>
        <c:majorTickMark val="none"/>
        <c:tickLblPos val="nextTo"/>
        <c:crossAx val="177551232"/>
        <c:crosses val="autoZero"/>
        <c:auto val="1"/>
        <c:lblAlgn val="ctr"/>
        <c:lblOffset val="100"/>
      </c:catAx>
      <c:valAx>
        <c:axId val="17755123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770917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[Marketing_Funnel_Conversion_Analysis.xlsx]Monthly_Trend!PivotTable4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 Funnel Performance Trend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elete val="1"/>
        </c:dLbl>
      </c:pivotFmt>
      <c:pivotFmt>
        <c:idx val="7"/>
        <c:dLbl>
          <c:idx val="0"/>
          <c:delete val="1"/>
        </c:dLbl>
      </c:pivotFmt>
      <c:pivotFmt>
        <c:idx val="8"/>
        <c:dLbl>
          <c:idx val="0"/>
          <c:delete val="1"/>
        </c:dLbl>
      </c:pivotFmt>
      <c:pivotFmt>
        <c:idx val="9"/>
      </c:pivotFmt>
      <c:pivotFmt>
        <c:idx val="10"/>
      </c:pivotFmt>
      <c:pivotFmt>
        <c:idx val="11"/>
      </c:pivotFmt>
    </c:pivotFmts>
    <c:plotArea>
      <c:layout/>
      <c:lineChart>
        <c:grouping val="standard"/>
        <c:ser>
          <c:idx val="0"/>
          <c:order val="0"/>
          <c:tx>
            <c:strRef>
              <c:f>Monthly_Trend!$B$3:$B$4</c:f>
              <c:strCache>
                <c:ptCount val="1"/>
                <c:pt idx="0">
                  <c:v>Sum of Visitors</c:v>
                </c:pt>
              </c:strCache>
            </c:strRef>
          </c:tx>
          <c:cat>
            <c:strRef>
              <c:f>Monthly_Trend!$A$5:$A$11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Monthly_Trend!$B$5:$B$11</c:f>
              <c:numCache>
                <c:formatCode>General</c:formatCode>
                <c:ptCount val="6"/>
                <c:pt idx="0">
                  <c:v>2400</c:v>
                </c:pt>
                <c:pt idx="1">
                  <c:v>2600</c:v>
                </c:pt>
                <c:pt idx="2">
                  <c:v>2800</c:v>
                </c:pt>
                <c:pt idx="3">
                  <c:v>3000</c:v>
                </c:pt>
                <c:pt idx="4">
                  <c:v>3150</c:v>
                </c:pt>
                <c:pt idx="5">
                  <c:v>3300</c:v>
                </c:pt>
              </c:numCache>
            </c:numRef>
          </c:val>
        </c:ser>
        <c:ser>
          <c:idx val="1"/>
          <c:order val="1"/>
          <c:tx>
            <c:strRef>
              <c:f>Monthly_Trend!$C$3:$C$4</c:f>
              <c:strCache>
                <c:ptCount val="1"/>
                <c:pt idx="0">
                  <c:v>Sum of Leads</c:v>
                </c:pt>
              </c:strCache>
            </c:strRef>
          </c:tx>
          <c:cat>
            <c:strRef>
              <c:f>Monthly_Trend!$A$5:$A$11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Monthly_Trend!$C$5:$C$11</c:f>
              <c:numCache>
                <c:formatCode>General</c:formatCode>
                <c:ptCount val="6"/>
                <c:pt idx="0">
                  <c:v>290</c:v>
                </c:pt>
                <c:pt idx="1">
                  <c:v>320</c:v>
                </c:pt>
                <c:pt idx="2">
                  <c:v>340</c:v>
                </c:pt>
                <c:pt idx="3">
                  <c:v>360</c:v>
                </c:pt>
                <c:pt idx="4">
                  <c:v>380</c:v>
                </c:pt>
                <c:pt idx="5">
                  <c:v>400</c:v>
                </c:pt>
              </c:numCache>
            </c:numRef>
          </c:val>
        </c:ser>
        <c:ser>
          <c:idx val="2"/>
          <c:order val="2"/>
          <c:tx>
            <c:strRef>
              <c:f>Monthly_Trend!$D$3:$D$4</c:f>
              <c:strCache>
                <c:ptCount val="1"/>
                <c:pt idx="0">
                  <c:v>Sum of Customers</c:v>
                </c:pt>
              </c:strCache>
            </c:strRef>
          </c:tx>
          <c:cat>
            <c:strRef>
              <c:f>Monthly_Trend!$A$5:$A$11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Monthly_Trend!$D$5:$D$11</c:f>
              <c:numCache>
                <c:formatCode>General</c:formatCode>
                <c:ptCount val="6"/>
                <c:pt idx="0">
                  <c:v>45</c:v>
                </c:pt>
                <c:pt idx="1">
                  <c:v>52</c:v>
                </c:pt>
                <c:pt idx="2">
                  <c:v>58</c:v>
                </c:pt>
                <c:pt idx="3">
                  <c:v>63</c:v>
                </c:pt>
                <c:pt idx="4">
                  <c:v>69</c:v>
                </c:pt>
                <c:pt idx="5">
                  <c:v>74</c:v>
                </c:pt>
              </c:numCache>
            </c:numRef>
          </c:val>
        </c:ser>
        <c:marker val="1"/>
        <c:axId val="183120256"/>
        <c:axId val="183121792"/>
      </c:lineChart>
      <c:catAx>
        <c:axId val="183120256"/>
        <c:scaling>
          <c:orientation val="minMax"/>
        </c:scaling>
        <c:axPos val="b"/>
        <c:majorTickMark val="none"/>
        <c:tickLblPos val="nextTo"/>
        <c:crossAx val="183121792"/>
        <c:crosses val="autoZero"/>
        <c:auto val="1"/>
        <c:lblAlgn val="ctr"/>
        <c:lblOffset val="100"/>
      </c:catAx>
      <c:valAx>
        <c:axId val="18312179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31202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Funnel Drop-Off Analysis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Drop_Off_Analysis!$A$2</c:f>
              <c:strCache>
                <c:ptCount val="1"/>
                <c:pt idx="0">
                  <c:v>Visitors → Leads</c:v>
                </c:pt>
              </c:strCache>
            </c:strRef>
          </c:tx>
          <c:cat>
            <c:strRef>
              <c:f>Drop_Off_Analysis!$B$1:$E$1</c:f>
              <c:strCache>
                <c:ptCount val="4"/>
                <c:pt idx="0">
                  <c:v>Start</c:v>
                </c:pt>
                <c:pt idx="1">
                  <c:v>End</c:v>
                </c:pt>
                <c:pt idx="2">
                  <c:v>Conversion Rate</c:v>
                </c:pt>
                <c:pt idx="3">
                  <c:v>Drop-Off Rate </c:v>
                </c:pt>
              </c:strCache>
            </c:strRef>
          </c:cat>
          <c:val>
            <c:numRef>
              <c:f>Drop_Off_Analysis!$B$2:$E$2</c:f>
              <c:numCache>
                <c:formatCode>General</c:formatCode>
                <c:ptCount val="4"/>
                <c:pt idx="0">
                  <c:v>17250</c:v>
                </c:pt>
                <c:pt idx="1">
                  <c:v>2090</c:v>
                </c:pt>
                <c:pt idx="2" formatCode="0.00%">
                  <c:v>0.12115942028985507</c:v>
                </c:pt>
                <c:pt idx="3" formatCode="0.00%">
                  <c:v>0.87884057971014495</c:v>
                </c:pt>
              </c:numCache>
            </c:numRef>
          </c:val>
        </c:ser>
        <c:ser>
          <c:idx val="1"/>
          <c:order val="1"/>
          <c:tx>
            <c:strRef>
              <c:f>Drop_Off_Analysis!$A$3</c:f>
              <c:strCache>
                <c:ptCount val="1"/>
                <c:pt idx="0">
                  <c:v>Leads → Customers</c:v>
                </c:pt>
              </c:strCache>
            </c:strRef>
          </c:tx>
          <c:cat>
            <c:strRef>
              <c:f>Drop_Off_Analysis!$B$1:$E$1</c:f>
              <c:strCache>
                <c:ptCount val="4"/>
                <c:pt idx="0">
                  <c:v>Start</c:v>
                </c:pt>
                <c:pt idx="1">
                  <c:v>End</c:v>
                </c:pt>
                <c:pt idx="2">
                  <c:v>Conversion Rate</c:v>
                </c:pt>
                <c:pt idx="3">
                  <c:v>Drop-Off Rate </c:v>
                </c:pt>
              </c:strCache>
            </c:strRef>
          </c:cat>
          <c:val>
            <c:numRef>
              <c:f>Drop_Off_Analysis!$B$3:$E$3</c:f>
              <c:numCache>
                <c:formatCode>General</c:formatCode>
                <c:ptCount val="4"/>
                <c:pt idx="0">
                  <c:v>2090</c:v>
                </c:pt>
                <c:pt idx="1">
                  <c:v>361</c:v>
                </c:pt>
                <c:pt idx="2" formatCode="0.00%">
                  <c:v>0.17272727272727273</c:v>
                </c:pt>
                <c:pt idx="3" formatCode="0.00%">
                  <c:v>0.82727272727272727</c:v>
                </c:pt>
              </c:numCache>
            </c:numRef>
          </c:val>
        </c:ser>
        <c:axId val="182457472"/>
        <c:axId val="182459008"/>
      </c:barChart>
      <c:catAx>
        <c:axId val="182457472"/>
        <c:scaling>
          <c:orientation val="minMax"/>
        </c:scaling>
        <c:axPos val="b"/>
        <c:majorTickMark val="none"/>
        <c:tickLblPos val="nextTo"/>
        <c:crossAx val="182459008"/>
        <c:crosses val="autoZero"/>
        <c:auto val="1"/>
        <c:lblAlgn val="ctr"/>
        <c:lblOffset val="100"/>
      </c:catAx>
      <c:valAx>
        <c:axId val="18245900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24574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144780</xdr:rowOff>
    </xdr:from>
    <xdr:to>
      <xdr:col>12</xdr:col>
      <xdr:colOff>327660</xdr:colOff>
      <xdr:row>16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2</xdr:row>
      <xdr:rowOff>142603</xdr:rowOff>
    </xdr:from>
    <xdr:to>
      <xdr:col>16</xdr:col>
      <xdr:colOff>280851</xdr:colOff>
      <xdr:row>16</xdr:row>
      <xdr:rowOff>142603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26127</xdr:colOff>
      <xdr:row>18</xdr:row>
      <xdr:rowOff>37011</xdr:rowOff>
    </xdr:from>
    <xdr:ext cx="4763588" cy="781240"/>
    <xdr:sp macro="" textlink="">
      <xdr:nvSpPr>
        <xdr:cNvPr id="3" name="TextBox 2"/>
        <xdr:cNvSpPr txBox="1"/>
      </xdr:nvSpPr>
      <xdr:spPr>
        <a:xfrm>
          <a:off x="7145384" y="3553097"/>
          <a:ext cx="4763588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b="1"/>
            <a:t>Key Insight:</a:t>
          </a:r>
          <a:r>
            <a:rPr lang="en-US"/>
            <a:t/>
          </a:r>
          <a:br>
            <a:rPr lang="en-US"/>
          </a:br>
          <a:r>
            <a:rPr lang="en-US"/>
            <a:t>Marketing performance improved steadily from January to June, with consistent growth in visitors, leads, and customers, indicating increasingly effective campaign performance.</a:t>
          </a:r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160020</xdr:rowOff>
    </xdr:from>
    <xdr:to>
      <xdr:col>12</xdr:col>
      <xdr:colOff>289560</xdr:colOff>
      <xdr:row>17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606334</xdr:colOff>
      <xdr:row>18</xdr:row>
      <xdr:rowOff>165462</xdr:rowOff>
    </xdr:from>
    <xdr:ext cx="4281351" cy="1125693"/>
    <xdr:sp macro="" textlink="">
      <xdr:nvSpPr>
        <xdr:cNvPr id="4" name="TextBox 3"/>
        <xdr:cNvSpPr txBox="1"/>
      </xdr:nvSpPr>
      <xdr:spPr>
        <a:xfrm>
          <a:off x="3044734" y="3640182"/>
          <a:ext cx="4281351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Key Insight:</a:t>
          </a:r>
          <a:r>
            <a:rPr lang="en-US"/>
            <a:t/>
          </a:r>
          <a:br>
            <a:rPr lang="en-US"/>
          </a:br>
          <a:r>
            <a:rPr lang="en-US"/>
            <a:t>Only </a:t>
          </a:r>
          <a:r>
            <a:rPr lang="en-US" b="1"/>
            <a:t>12.12%</a:t>
          </a:r>
          <a:r>
            <a:rPr lang="en-US"/>
            <a:t> of visitors become leads, making the Visitor → Lead stage the biggest drop-off point and the main opportunity for conversion improvement.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/>
        </a:p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533401</xdr:colOff>
      <xdr:row>22</xdr:row>
      <xdr:rowOff>22860</xdr:rowOff>
    </xdr:from>
    <xdr:ext cx="5654040" cy="609013"/>
    <xdr:sp macro="" textlink="">
      <xdr:nvSpPr>
        <xdr:cNvPr id="2" name="TextBox 1"/>
        <xdr:cNvSpPr txBox="1"/>
      </xdr:nvSpPr>
      <xdr:spPr>
        <a:xfrm>
          <a:off x="2362201" y="4594860"/>
          <a:ext cx="5654040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b="1"/>
            <a:t>Key Insight:</a:t>
          </a:r>
          <a:r>
            <a:rPr lang="en-US"/>
            <a:t/>
          </a:r>
          <a:br>
            <a:rPr lang="en-US"/>
          </a:br>
          <a:r>
            <a:rPr lang="en-US"/>
            <a:t>LinkedIn generated the highest-quality leads, achieving the strongest conversion rates and the highest number of customers despite attracting the lowest traffic volume.</a:t>
          </a:r>
          <a:endParaRPr lang="en-US" sz="1100"/>
        </a:p>
      </xdr:txBody>
    </xdr:sp>
    <xdr:clientData/>
  </xdr:oneCellAnchor>
  <xdr:twoCellAnchor>
    <xdr:from>
      <xdr:col>4</xdr:col>
      <xdr:colOff>7620</xdr:colOff>
      <xdr:row>4</xdr:row>
      <xdr:rowOff>160020</xdr:rowOff>
    </xdr:from>
    <xdr:to>
      <xdr:col>9</xdr:col>
      <xdr:colOff>563880</xdr:colOff>
      <xdr:row>21</xdr:row>
      <xdr:rowOff>53340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4</xdr:row>
      <xdr:rowOff>7620</xdr:rowOff>
    </xdr:from>
    <xdr:to>
      <xdr:col>6</xdr:col>
      <xdr:colOff>510540</xdr:colOff>
      <xdr:row>19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15241</xdr:colOff>
      <xdr:row>20</xdr:row>
      <xdr:rowOff>22860</xdr:rowOff>
    </xdr:from>
    <xdr:ext cx="4488179" cy="953466"/>
    <xdr:sp macro="" textlink="">
      <xdr:nvSpPr>
        <xdr:cNvPr id="4" name="TextBox 3"/>
        <xdr:cNvSpPr txBox="1"/>
      </xdr:nvSpPr>
      <xdr:spPr>
        <a:xfrm>
          <a:off x="1264921" y="3680460"/>
          <a:ext cx="4488179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Key Insight:</a:t>
          </a:r>
          <a:r>
            <a:rPr lang="en-US"/>
            <a:t/>
          </a:r>
          <a:br>
            <a:rPr lang="en-US"/>
          </a:br>
          <a:r>
            <a:rPr lang="en-US"/>
            <a:t>The largest drop-off occurs between the Visitor and Lead stages, where 87.88% of potential users exit the funnel. Improving lead capture and engagement at this stage could significantly increase overall conversions.</a:t>
          </a:r>
        </a:p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</xdr:row>
      <xdr:rowOff>22860</xdr:rowOff>
    </xdr:from>
    <xdr:to>
      <xdr:col>6</xdr:col>
      <xdr:colOff>198120</xdr:colOff>
      <xdr:row>21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7620</xdr:rowOff>
    </xdr:from>
    <xdr:to>
      <xdr:col>14</xdr:col>
      <xdr:colOff>304800</xdr:colOff>
      <xdr:row>21</xdr:row>
      <xdr:rowOff>137160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685800</xdr:colOff>
      <xdr:row>23</xdr:row>
      <xdr:rowOff>0</xdr:rowOff>
    </xdr:from>
    <xdr:to>
      <xdr:col>6</xdr:col>
      <xdr:colOff>410391</xdr:colOff>
      <xdr:row>37</xdr:row>
      <xdr:rowOff>138057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22860</xdr:colOff>
      <xdr:row>22</xdr:row>
      <xdr:rowOff>167640</xdr:rowOff>
    </xdr:from>
    <xdr:to>
      <xdr:col>14</xdr:col>
      <xdr:colOff>327660</xdr:colOff>
      <xdr:row>37</xdr:row>
      <xdr:rowOff>167640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15240</xdr:colOff>
      <xdr:row>39</xdr:row>
      <xdr:rowOff>15240</xdr:rowOff>
    </xdr:from>
    <xdr:ext cx="3676840" cy="1642373"/>
    <xdr:sp macro="" textlink="">
      <xdr:nvSpPr>
        <xdr:cNvPr id="6" name="TextBox 5"/>
        <xdr:cNvSpPr txBox="1"/>
      </xdr:nvSpPr>
      <xdr:spPr>
        <a:xfrm>
          <a:off x="1066800" y="8206740"/>
          <a:ext cx="3676840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b="1"/>
            <a:t>Executive Summary</a:t>
          </a:r>
        </a:p>
        <a:p>
          <a:r>
            <a:rPr lang="en-US"/>
            <a:t>Total Visitors: </a:t>
          </a:r>
          <a:r>
            <a:rPr lang="en-US" b="1"/>
            <a:t>17,250</a:t>
          </a:r>
          <a:r>
            <a:rPr lang="en-US"/>
            <a:t> </a:t>
          </a:r>
        </a:p>
        <a:p>
          <a:r>
            <a:rPr lang="en-US"/>
            <a:t>Total Leads: </a:t>
          </a:r>
          <a:r>
            <a:rPr lang="en-US" b="1"/>
            <a:t>2,090</a:t>
          </a:r>
          <a:r>
            <a:rPr lang="en-US"/>
            <a:t> </a:t>
          </a:r>
        </a:p>
        <a:p>
          <a:r>
            <a:rPr lang="en-US"/>
            <a:t>Total Customers: </a:t>
          </a:r>
          <a:r>
            <a:rPr lang="en-US" b="1"/>
            <a:t>361</a:t>
          </a:r>
          <a:r>
            <a:rPr lang="en-US"/>
            <a:t> </a:t>
          </a:r>
        </a:p>
        <a:p>
          <a:r>
            <a:rPr lang="en-US"/>
            <a:t>Overall Conversion Rate: </a:t>
          </a:r>
          <a:r>
            <a:rPr lang="en-US" b="1"/>
            <a:t>2.09%</a:t>
          </a:r>
          <a:r>
            <a:rPr lang="en-US"/>
            <a:t> </a:t>
          </a:r>
        </a:p>
        <a:p>
          <a:r>
            <a:rPr lang="en-US"/>
            <a:t>LinkedIn generated the highest-quality leads and customers. </a:t>
          </a:r>
        </a:p>
        <a:p>
          <a:r>
            <a:rPr lang="en-US"/>
            <a:t>The biggest drop-off occurs between Visitors and Leads. </a:t>
          </a:r>
        </a:p>
        <a:p>
          <a:r>
            <a:rPr lang="en-US"/>
            <a:t>Funnel performance improved steadily from January to June.</a:t>
          </a:r>
        </a:p>
        <a:p>
          <a:endParaRPr lang="en-US" sz="1100"/>
        </a:p>
      </xdr:txBody>
    </xdr:sp>
    <xdr:clientData/>
  </xdr:oneCellAnchor>
  <xdr:oneCellAnchor>
    <xdr:from>
      <xdr:col>8</xdr:col>
      <xdr:colOff>15240</xdr:colOff>
      <xdr:row>39</xdr:row>
      <xdr:rowOff>7620</xdr:rowOff>
    </xdr:from>
    <xdr:ext cx="4126899" cy="1297919"/>
    <xdr:sp macro="" textlink="">
      <xdr:nvSpPr>
        <xdr:cNvPr id="7" name="TextBox 6"/>
        <xdr:cNvSpPr txBox="1"/>
      </xdr:nvSpPr>
      <xdr:spPr>
        <a:xfrm>
          <a:off x="7101840" y="8199120"/>
          <a:ext cx="4126899" cy="1297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b="1"/>
            <a:t>Recommendations</a:t>
          </a:r>
          <a:endParaRPr lang="en-US"/>
        </a:p>
        <a:p>
          <a:r>
            <a:rPr lang="en-US"/>
            <a:t>Improve landing pages and CTAs to increase lead generation. </a:t>
          </a:r>
        </a:p>
        <a:p>
          <a:r>
            <a:rPr lang="en-US"/>
            <a:t>Invest more in LinkedIn campaigns due to superior conversion rates. </a:t>
          </a:r>
        </a:p>
        <a:p>
          <a:r>
            <a:rPr lang="en-US"/>
            <a:t>Simplify lead capture forms. </a:t>
          </a:r>
        </a:p>
        <a:p>
          <a:r>
            <a:rPr lang="en-US"/>
            <a:t>Scale high-performing campaigns. </a:t>
          </a:r>
        </a:p>
        <a:p>
          <a:r>
            <a:rPr lang="en-US"/>
            <a:t>Monitor funnel KPIs regularly to reduce drop-offs.</a:t>
          </a:r>
        </a:p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keting_Dat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Marketing_Data"/>
    </sheetNames>
    <sheetDataSet>
      <sheetData sheetId="0">
        <row r="1">
          <cell r="C1" t="str">
            <v>Visitors</v>
          </cell>
          <cell r="D1" t="str">
            <v>Leads</v>
          </cell>
          <cell r="E1" t="str">
            <v>Customers</v>
          </cell>
        </row>
        <row r="2">
          <cell r="C2">
            <v>1000</v>
          </cell>
          <cell r="D2">
            <v>120</v>
          </cell>
          <cell r="E2">
            <v>15</v>
          </cell>
        </row>
        <row r="3">
          <cell r="C3">
            <v>900</v>
          </cell>
          <cell r="D3">
            <v>90</v>
          </cell>
          <cell r="E3">
            <v>10</v>
          </cell>
        </row>
        <row r="4">
          <cell r="C4">
            <v>500</v>
          </cell>
          <cell r="D4">
            <v>80</v>
          </cell>
          <cell r="E4">
            <v>20</v>
          </cell>
        </row>
        <row r="5">
          <cell r="C5">
            <v>1100</v>
          </cell>
          <cell r="D5">
            <v>140</v>
          </cell>
          <cell r="E5">
            <v>18</v>
          </cell>
        </row>
        <row r="6">
          <cell r="C6">
            <v>950</v>
          </cell>
          <cell r="D6">
            <v>95</v>
          </cell>
          <cell r="E6">
            <v>12</v>
          </cell>
        </row>
        <row r="7">
          <cell r="C7">
            <v>550</v>
          </cell>
          <cell r="D7">
            <v>85</v>
          </cell>
          <cell r="E7">
            <v>22</v>
          </cell>
        </row>
        <row r="8">
          <cell r="C8">
            <v>1200</v>
          </cell>
          <cell r="D8">
            <v>150</v>
          </cell>
          <cell r="E8">
            <v>20</v>
          </cell>
        </row>
        <row r="9">
          <cell r="C9">
            <v>1000</v>
          </cell>
          <cell r="D9">
            <v>100</v>
          </cell>
          <cell r="E9">
            <v>13</v>
          </cell>
        </row>
        <row r="10">
          <cell r="C10">
            <v>600</v>
          </cell>
          <cell r="D10">
            <v>90</v>
          </cell>
          <cell r="E10">
            <v>25</v>
          </cell>
        </row>
        <row r="11">
          <cell r="C11">
            <v>1300</v>
          </cell>
          <cell r="D11">
            <v>160</v>
          </cell>
          <cell r="E11">
            <v>22</v>
          </cell>
        </row>
        <row r="12">
          <cell r="C12">
            <v>1050</v>
          </cell>
          <cell r="D12">
            <v>105</v>
          </cell>
          <cell r="E12">
            <v>14</v>
          </cell>
        </row>
        <row r="13">
          <cell r="C13">
            <v>650</v>
          </cell>
          <cell r="D13">
            <v>95</v>
          </cell>
          <cell r="E13">
            <v>27</v>
          </cell>
        </row>
        <row r="14">
          <cell r="C14">
            <v>1350</v>
          </cell>
          <cell r="D14">
            <v>170</v>
          </cell>
          <cell r="E14">
            <v>24</v>
          </cell>
        </row>
        <row r="15">
          <cell r="C15">
            <v>1100</v>
          </cell>
          <cell r="D15">
            <v>110</v>
          </cell>
          <cell r="E15">
            <v>15</v>
          </cell>
        </row>
        <row r="16">
          <cell r="C16">
            <v>700</v>
          </cell>
          <cell r="D16">
            <v>100</v>
          </cell>
          <cell r="E16">
            <v>30</v>
          </cell>
        </row>
        <row r="17">
          <cell r="C17">
            <v>1400</v>
          </cell>
          <cell r="D17">
            <v>180</v>
          </cell>
          <cell r="E17">
            <v>26</v>
          </cell>
        </row>
        <row r="18">
          <cell r="C18">
            <v>1150</v>
          </cell>
          <cell r="D18">
            <v>115</v>
          </cell>
          <cell r="E18">
            <v>16</v>
          </cell>
        </row>
        <row r="19">
          <cell r="C19">
            <v>750</v>
          </cell>
          <cell r="D19">
            <v>105</v>
          </cell>
          <cell r="E19">
            <v>32</v>
          </cell>
        </row>
      </sheetData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98.809074652774" createdVersion="3" refreshedVersion="3" minRefreshableVersion="3" recordCount="18">
  <cacheSource type="worksheet">
    <worksheetSource name="Table1"/>
  </cacheSource>
  <cacheFields count="7">
    <cacheField name="Month" numFmtId="0">
      <sharedItems count="6">
        <s v="Jan"/>
        <s v="Feb"/>
        <s v="Mar"/>
        <s v="Apr"/>
        <s v="May"/>
        <s v="Jun"/>
      </sharedItems>
    </cacheField>
    <cacheField name="Channel" numFmtId="0">
      <sharedItems count="3">
        <s v="Google Ads"/>
        <s v="Facebook"/>
        <s v="LinkedIn"/>
      </sharedItems>
    </cacheField>
    <cacheField name="Visitors" numFmtId="0">
      <sharedItems containsSemiMixedTypes="0" containsString="0" containsNumber="1" containsInteger="1" minValue="500" maxValue="1400"/>
    </cacheField>
    <cacheField name="Leads" numFmtId="0">
      <sharedItems containsSemiMixedTypes="0" containsString="0" containsNumber="1" containsInteger="1" minValue="80" maxValue="180"/>
    </cacheField>
    <cacheField name="Customers" numFmtId="0">
      <sharedItems containsSemiMixedTypes="0" containsString="0" containsNumber="1" containsInteger="1" minValue="10" maxValue="32"/>
    </cacheField>
    <cacheField name="Visitor-to-Lead %" numFmtId="0">
      <sharedItems containsSemiMixedTypes="0" containsString="0" containsNumber="1" minValue="0.1" maxValue="0.16"/>
    </cacheField>
    <cacheField name="Lead-to-Customer %" numFmtId="0">
      <sharedItems containsSemiMixedTypes="0" containsString="0" containsNumber="1" minValue="0.1111111111111111" maxValue="0.3047619047619047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n v="1000"/>
    <n v="120"/>
    <n v="15"/>
    <n v="0.12"/>
    <n v="0.125"/>
  </r>
  <r>
    <x v="0"/>
    <x v="1"/>
    <n v="900"/>
    <n v="90"/>
    <n v="10"/>
    <n v="0.1"/>
    <n v="0.1111111111111111"/>
  </r>
  <r>
    <x v="0"/>
    <x v="2"/>
    <n v="500"/>
    <n v="80"/>
    <n v="20"/>
    <n v="0.16"/>
    <n v="0.25"/>
  </r>
  <r>
    <x v="1"/>
    <x v="0"/>
    <n v="1100"/>
    <n v="140"/>
    <n v="18"/>
    <n v="0.12727272727272726"/>
    <n v="0.12857142857142856"/>
  </r>
  <r>
    <x v="1"/>
    <x v="1"/>
    <n v="950"/>
    <n v="95"/>
    <n v="12"/>
    <n v="0.1"/>
    <n v="0.12631578947368421"/>
  </r>
  <r>
    <x v="1"/>
    <x v="2"/>
    <n v="550"/>
    <n v="85"/>
    <n v="22"/>
    <n v="0.15454545454545454"/>
    <n v="0.25882352941176473"/>
  </r>
  <r>
    <x v="2"/>
    <x v="0"/>
    <n v="1200"/>
    <n v="150"/>
    <n v="20"/>
    <n v="0.125"/>
    <n v="0.13333333333333333"/>
  </r>
  <r>
    <x v="2"/>
    <x v="1"/>
    <n v="1000"/>
    <n v="100"/>
    <n v="13"/>
    <n v="0.1"/>
    <n v="0.13"/>
  </r>
  <r>
    <x v="2"/>
    <x v="2"/>
    <n v="600"/>
    <n v="90"/>
    <n v="25"/>
    <n v="0.15"/>
    <n v="0.27777777777777779"/>
  </r>
  <r>
    <x v="3"/>
    <x v="0"/>
    <n v="1300"/>
    <n v="160"/>
    <n v="22"/>
    <n v="0.12307692307692308"/>
    <n v="0.13750000000000001"/>
  </r>
  <r>
    <x v="3"/>
    <x v="1"/>
    <n v="1050"/>
    <n v="105"/>
    <n v="14"/>
    <n v="0.1"/>
    <n v="0.13333333333333333"/>
  </r>
  <r>
    <x v="3"/>
    <x v="2"/>
    <n v="650"/>
    <n v="95"/>
    <n v="27"/>
    <n v="0.14615384615384616"/>
    <n v="0.28421052631578947"/>
  </r>
  <r>
    <x v="4"/>
    <x v="0"/>
    <n v="1350"/>
    <n v="170"/>
    <n v="24"/>
    <n v="0.12592592592592591"/>
    <n v="0.14117647058823529"/>
  </r>
  <r>
    <x v="4"/>
    <x v="1"/>
    <n v="1100"/>
    <n v="110"/>
    <n v="15"/>
    <n v="0.1"/>
    <n v="0.13636363636363635"/>
  </r>
  <r>
    <x v="4"/>
    <x v="2"/>
    <n v="700"/>
    <n v="100"/>
    <n v="30"/>
    <n v="0.14285714285714285"/>
    <n v="0.3"/>
  </r>
  <r>
    <x v="5"/>
    <x v="0"/>
    <n v="1400"/>
    <n v="180"/>
    <n v="26"/>
    <n v="0.12857142857142856"/>
    <n v="0.14444444444444443"/>
  </r>
  <r>
    <x v="5"/>
    <x v="1"/>
    <n v="1150"/>
    <n v="115"/>
    <n v="16"/>
    <n v="0.1"/>
    <n v="0.1391304347826087"/>
  </r>
  <r>
    <x v="5"/>
    <x v="2"/>
    <n v="750"/>
    <n v="105"/>
    <n v="32"/>
    <n v="0.14000000000000001"/>
    <n v="0.304761904761904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D8" firstHeaderRow="1" firstDataRow="2" firstDataCol="1"/>
  <pivotFields count="7"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isitors" fld="2" baseField="0" baseItem="0"/>
    <dataField name="Sum of Leads" fld="3" baseField="0" baseItem="0"/>
    <dataField name="Sum of Customers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D11" firstHeaderRow="1" firstDataRow="2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isitors" fld="2" baseField="0" baseItem="0"/>
    <dataField name="Sum of Leads" fld="3" baseField="0" baseItem="0"/>
    <dataField name="Sum of Customers" fld="4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E4:G10" totalsRowShown="0" headerRowDxfId="0">
  <autoFilter ref="E4:G10"/>
  <tableColumns count="3">
    <tableColumn id="1" name="Month" dataDxfId="3"/>
    <tableColumn id="2" name="Visitor→Lead %" dataDxfId="2" dataCellStyle="Percent">
      <calculatedColumnFormula>C5/B5</calculatedColumnFormula>
    </tableColumn>
    <tableColumn id="3" name="Lead→Customer %" dataDxfId="1" dataCellStyle="Percent">
      <calculatedColumnFormula>D5/C5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G19" totalsRowShown="0" headerRowDxfId="6" dataDxfId="7">
  <autoFilter ref="A1:G19">
    <filterColumn colId="5"/>
    <filterColumn colId="6"/>
  </autoFilter>
  <tableColumns count="7">
    <tableColumn id="1" name="Month" dataDxfId="12"/>
    <tableColumn id="2" name="Channel" dataDxfId="11"/>
    <tableColumn id="3" name="Visitors" dataDxfId="10"/>
    <tableColumn id="4" name="Leads" dataDxfId="9"/>
    <tableColumn id="5" name="Customers" dataDxfId="8"/>
    <tableColumn id="6" name="Visitor-to-Lead %" dataDxfId="5">
      <calculatedColumnFormula>D2/C2</calculatedColumnFormula>
    </tableColumn>
    <tableColumn id="7" name="Lead-to-Customer %" dataDxfId="4">
      <calculatedColumnFormula>E2/D2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8"/>
  <sheetViews>
    <sheetView workbookViewId="0">
      <selection activeCell="O14" sqref="O14"/>
    </sheetView>
  </sheetViews>
  <sheetFormatPr defaultRowHeight="14.4"/>
  <cols>
    <col min="1" max="1" width="12.5546875" bestFit="1" customWidth="1"/>
    <col min="2" max="2" width="13.6640625" bestFit="1" customWidth="1"/>
    <col min="3" max="3" width="12.21875" bestFit="1" customWidth="1"/>
    <col min="4" max="4" width="16.44140625" bestFit="1" customWidth="1"/>
  </cols>
  <sheetData>
    <row r="3" spans="1:4">
      <c r="B3" s="6" t="s">
        <v>29</v>
      </c>
    </row>
    <row r="4" spans="1:4">
      <c r="A4" s="6" t="s">
        <v>26</v>
      </c>
      <c r="B4" t="s">
        <v>30</v>
      </c>
      <c r="C4" t="s">
        <v>31</v>
      </c>
      <c r="D4" t="s">
        <v>28</v>
      </c>
    </row>
    <row r="5" spans="1:4">
      <c r="A5" s="7" t="s">
        <v>7</v>
      </c>
      <c r="B5" s="8">
        <v>6150</v>
      </c>
      <c r="C5" s="8">
        <v>615</v>
      </c>
      <c r="D5" s="8">
        <v>80</v>
      </c>
    </row>
    <row r="6" spans="1:4">
      <c r="A6" s="7" t="s">
        <v>6</v>
      </c>
      <c r="B6" s="8">
        <v>7350</v>
      </c>
      <c r="C6" s="8">
        <v>920</v>
      </c>
      <c r="D6" s="8">
        <v>125</v>
      </c>
    </row>
    <row r="7" spans="1:4">
      <c r="A7" s="7" t="s">
        <v>8</v>
      </c>
      <c r="B7" s="8">
        <v>3750</v>
      </c>
      <c r="C7" s="8">
        <v>555</v>
      </c>
      <c r="D7" s="8">
        <v>156</v>
      </c>
    </row>
    <row r="8" spans="1:4">
      <c r="A8" s="7" t="s">
        <v>27</v>
      </c>
      <c r="B8" s="8">
        <v>17250</v>
      </c>
      <c r="C8" s="8">
        <v>2090</v>
      </c>
      <c r="D8" s="8">
        <v>361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G11"/>
  <sheetViews>
    <sheetView zoomScale="85" zoomScaleNormal="85" workbookViewId="0">
      <selection activeCell="D26" sqref="D26"/>
    </sheetView>
  </sheetViews>
  <sheetFormatPr defaultRowHeight="14.4"/>
  <cols>
    <col min="1" max="1" width="12.5546875" bestFit="1" customWidth="1"/>
    <col min="2" max="2" width="13.6640625" bestFit="1" customWidth="1"/>
    <col min="3" max="3" width="12.21875" bestFit="1" customWidth="1"/>
    <col min="4" max="4" width="16.44140625" bestFit="1" customWidth="1"/>
    <col min="5" max="5" width="10.6640625" customWidth="1"/>
    <col min="6" max="6" width="17.5546875" customWidth="1"/>
    <col min="7" max="7" width="19.44140625" customWidth="1"/>
  </cols>
  <sheetData>
    <row r="3" spans="1:7">
      <c r="B3" s="6" t="s">
        <v>29</v>
      </c>
      <c r="E3" s="1"/>
      <c r="F3" s="1"/>
      <c r="G3" s="1"/>
    </row>
    <row r="4" spans="1:7" ht="28.8">
      <c r="A4" s="6" t="s">
        <v>26</v>
      </c>
      <c r="B4" t="s">
        <v>30</v>
      </c>
      <c r="C4" t="s">
        <v>31</v>
      </c>
      <c r="D4" t="s">
        <v>28</v>
      </c>
      <c r="E4" s="3" t="s">
        <v>0</v>
      </c>
      <c r="F4" s="3" t="s">
        <v>32</v>
      </c>
      <c r="G4" s="3" t="s">
        <v>33</v>
      </c>
    </row>
    <row r="5" spans="1:7">
      <c r="A5" s="7" t="s">
        <v>5</v>
      </c>
      <c r="B5" s="8">
        <v>2400</v>
      </c>
      <c r="C5" s="8">
        <v>290</v>
      </c>
      <c r="D5" s="8">
        <v>45</v>
      </c>
      <c r="E5" s="3" t="s">
        <v>5</v>
      </c>
      <c r="F5" s="10">
        <f>C5/B5</f>
        <v>0.12083333333333333</v>
      </c>
      <c r="G5" s="10">
        <f>D5/C5</f>
        <v>0.15517241379310345</v>
      </c>
    </row>
    <row r="6" spans="1:7">
      <c r="A6" s="7" t="s">
        <v>9</v>
      </c>
      <c r="B6" s="8">
        <v>2600</v>
      </c>
      <c r="C6" s="8">
        <v>320</v>
      </c>
      <c r="D6" s="8">
        <v>52</v>
      </c>
      <c r="E6" s="3" t="s">
        <v>9</v>
      </c>
      <c r="F6" s="10">
        <f t="shared" ref="F6:F10" si="0">C6/B6</f>
        <v>0.12307692307692308</v>
      </c>
      <c r="G6" s="10">
        <f t="shared" ref="G6:G10" si="1">D6/C6</f>
        <v>0.16250000000000001</v>
      </c>
    </row>
    <row r="7" spans="1:7">
      <c r="A7" s="7" t="s">
        <v>10</v>
      </c>
      <c r="B7" s="8">
        <v>2800</v>
      </c>
      <c r="C7" s="8">
        <v>340</v>
      </c>
      <c r="D7" s="8">
        <v>58</v>
      </c>
      <c r="E7" s="3" t="s">
        <v>10</v>
      </c>
      <c r="F7" s="10">
        <f t="shared" si="0"/>
        <v>0.12142857142857143</v>
      </c>
      <c r="G7" s="10">
        <f t="shared" si="1"/>
        <v>0.17058823529411765</v>
      </c>
    </row>
    <row r="8" spans="1:7">
      <c r="A8" s="7" t="s">
        <v>11</v>
      </c>
      <c r="B8" s="8">
        <v>3000</v>
      </c>
      <c r="C8" s="8">
        <v>360</v>
      </c>
      <c r="D8" s="8">
        <v>63</v>
      </c>
      <c r="E8" s="3" t="s">
        <v>11</v>
      </c>
      <c r="F8" s="10">
        <f t="shared" si="0"/>
        <v>0.12</v>
      </c>
      <c r="G8" s="10">
        <f t="shared" si="1"/>
        <v>0.17499999999999999</v>
      </c>
    </row>
    <row r="9" spans="1:7">
      <c r="A9" s="7" t="s">
        <v>12</v>
      </c>
      <c r="B9" s="8">
        <v>3150</v>
      </c>
      <c r="C9" s="8">
        <v>380</v>
      </c>
      <c r="D9" s="8">
        <v>69</v>
      </c>
      <c r="E9" s="3" t="s">
        <v>12</v>
      </c>
      <c r="F9" s="10">
        <f t="shared" si="0"/>
        <v>0.12063492063492064</v>
      </c>
      <c r="G9" s="10">
        <f t="shared" si="1"/>
        <v>0.18157894736842106</v>
      </c>
    </row>
    <row r="10" spans="1:7">
      <c r="A10" s="7" t="s">
        <v>13</v>
      </c>
      <c r="B10" s="8">
        <v>3300</v>
      </c>
      <c r="C10" s="8">
        <v>400</v>
      </c>
      <c r="D10" s="8">
        <v>74</v>
      </c>
      <c r="E10" s="3" t="s">
        <v>13</v>
      </c>
      <c r="F10" s="10">
        <f t="shared" si="0"/>
        <v>0.12121212121212122</v>
      </c>
      <c r="G10" s="10">
        <f t="shared" si="1"/>
        <v>0.185</v>
      </c>
    </row>
    <row r="11" spans="1:7">
      <c r="A11" s="7" t="s">
        <v>27</v>
      </c>
      <c r="B11" s="8">
        <v>17250</v>
      </c>
      <c r="C11" s="8">
        <v>2090</v>
      </c>
      <c r="D11" s="8">
        <v>361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selection activeCell="B11" sqref="B11"/>
    </sheetView>
  </sheetViews>
  <sheetFormatPr defaultRowHeight="14.4"/>
  <cols>
    <col min="2" max="2" width="9.77734375" customWidth="1"/>
    <col min="3" max="3" width="9" customWidth="1"/>
    <col min="5" max="5" width="11.77734375" customWidth="1"/>
  </cols>
  <sheetData>
    <row r="1" spans="1:7" ht="43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14</v>
      </c>
      <c r="G1" s="2" t="s">
        <v>15</v>
      </c>
    </row>
    <row r="2" spans="1:7" ht="28.8">
      <c r="A2" s="3" t="s">
        <v>5</v>
      </c>
      <c r="B2" s="3" t="s">
        <v>6</v>
      </c>
      <c r="C2" s="4">
        <v>1000</v>
      </c>
      <c r="D2" s="4">
        <v>120</v>
      </c>
      <c r="E2" s="4">
        <v>15</v>
      </c>
      <c r="F2" s="5">
        <f t="shared" ref="F2:F19" si="0">D2/C2</f>
        <v>0.12</v>
      </c>
      <c r="G2" s="5">
        <f t="shared" ref="G2:G19" si="1">E2/D2</f>
        <v>0.125</v>
      </c>
    </row>
    <row r="3" spans="1:7">
      <c r="A3" s="3" t="s">
        <v>5</v>
      </c>
      <c r="B3" s="3" t="s">
        <v>7</v>
      </c>
      <c r="C3" s="4">
        <v>900</v>
      </c>
      <c r="D3" s="4">
        <v>90</v>
      </c>
      <c r="E3" s="4">
        <v>10</v>
      </c>
      <c r="F3" s="5">
        <f t="shared" si="0"/>
        <v>0.1</v>
      </c>
      <c r="G3" s="5">
        <f t="shared" si="1"/>
        <v>0.1111111111111111</v>
      </c>
    </row>
    <row r="4" spans="1:7">
      <c r="A4" s="3" t="s">
        <v>5</v>
      </c>
      <c r="B4" s="3" t="s">
        <v>8</v>
      </c>
      <c r="C4" s="4">
        <v>500</v>
      </c>
      <c r="D4" s="4">
        <v>80</v>
      </c>
      <c r="E4" s="4">
        <v>20</v>
      </c>
      <c r="F4" s="5">
        <f t="shared" si="0"/>
        <v>0.16</v>
      </c>
      <c r="G4" s="5">
        <f t="shared" si="1"/>
        <v>0.25</v>
      </c>
    </row>
    <row r="5" spans="1:7" ht="28.8">
      <c r="A5" s="3" t="s">
        <v>9</v>
      </c>
      <c r="B5" s="3" t="s">
        <v>6</v>
      </c>
      <c r="C5" s="4">
        <v>1100</v>
      </c>
      <c r="D5" s="4">
        <v>140</v>
      </c>
      <c r="E5" s="4">
        <v>18</v>
      </c>
      <c r="F5" s="5">
        <f t="shared" si="0"/>
        <v>0.12727272727272726</v>
      </c>
      <c r="G5" s="5">
        <f t="shared" si="1"/>
        <v>0.12857142857142856</v>
      </c>
    </row>
    <row r="6" spans="1:7">
      <c r="A6" s="3" t="s">
        <v>9</v>
      </c>
      <c r="B6" s="3" t="s">
        <v>7</v>
      </c>
      <c r="C6" s="4">
        <v>950</v>
      </c>
      <c r="D6" s="4">
        <v>95</v>
      </c>
      <c r="E6" s="4">
        <v>12</v>
      </c>
      <c r="F6" s="5">
        <f t="shared" si="0"/>
        <v>0.1</v>
      </c>
      <c r="G6" s="5">
        <f t="shared" si="1"/>
        <v>0.12631578947368421</v>
      </c>
    </row>
    <row r="7" spans="1:7">
      <c r="A7" s="3" t="s">
        <v>9</v>
      </c>
      <c r="B7" s="3" t="s">
        <v>8</v>
      </c>
      <c r="C7" s="4">
        <v>550</v>
      </c>
      <c r="D7" s="4">
        <v>85</v>
      </c>
      <c r="E7" s="4">
        <v>22</v>
      </c>
      <c r="F7" s="5">
        <f t="shared" si="0"/>
        <v>0.15454545454545454</v>
      </c>
      <c r="G7" s="5">
        <f t="shared" si="1"/>
        <v>0.25882352941176473</v>
      </c>
    </row>
    <row r="8" spans="1:7" ht="28.8">
      <c r="A8" s="3" t="s">
        <v>10</v>
      </c>
      <c r="B8" s="3" t="s">
        <v>6</v>
      </c>
      <c r="C8" s="4">
        <v>1200</v>
      </c>
      <c r="D8" s="4">
        <v>150</v>
      </c>
      <c r="E8" s="4">
        <v>20</v>
      </c>
      <c r="F8" s="5">
        <f t="shared" si="0"/>
        <v>0.125</v>
      </c>
      <c r="G8" s="5">
        <f t="shared" si="1"/>
        <v>0.13333333333333333</v>
      </c>
    </row>
    <row r="9" spans="1:7">
      <c r="A9" s="3" t="s">
        <v>10</v>
      </c>
      <c r="B9" s="3" t="s">
        <v>7</v>
      </c>
      <c r="C9" s="4">
        <v>1000</v>
      </c>
      <c r="D9" s="4">
        <v>100</v>
      </c>
      <c r="E9" s="4">
        <v>13</v>
      </c>
      <c r="F9" s="5">
        <f t="shared" si="0"/>
        <v>0.1</v>
      </c>
      <c r="G9" s="5">
        <f t="shared" si="1"/>
        <v>0.13</v>
      </c>
    </row>
    <row r="10" spans="1:7">
      <c r="A10" s="3" t="s">
        <v>10</v>
      </c>
      <c r="B10" s="3" t="s">
        <v>8</v>
      </c>
      <c r="C10" s="4">
        <v>600</v>
      </c>
      <c r="D10" s="4">
        <v>90</v>
      </c>
      <c r="E10" s="4">
        <v>25</v>
      </c>
      <c r="F10" s="5">
        <f t="shared" si="0"/>
        <v>0.15</v>
      </c>
      <c r="G10" s="5">
        <f t="shared" si="1"/>
        <v>0.27777777777777779</v>
      </c>
    </row>
    <row r="11" spans="1:7" ht="28.8">
      <c r="A11" s="3" t="s">
        <v>11</v>
      </c>
      <c r="B11" s="3" t="s">
        <v>6</v>
      </c>
      <c r="C11" s="4">
        <v>1300</v>
      </c>
      <c r="D11" s="4">
        <v>160</v>
      </c>
      <c r="E11" s="4">
        <v>22</v>
      </c>
      <c r="F11" s="5">
        <f t="shared" si="0"/>
        <v>0.12307692307692308</v>
      </c>
      <c r="G11" s="5">
        <f t="shared" si="1"/>
        <v>0.13750000000000001</v>
      </c>
    </row>
    <row r="12" spans="1:7">
      <c r="A12" s="3" t="s">
        <v>11</v>
      </c>
      <c r="B12" s="3" t="s">
        <v>7</v>
      </c>
      <c r="C12" s="4">
        <v>1050</v>
      </c>
      <c r="D12" s="4">
        <v>105</v>
      </c>
      <c r="E12" s="4">
        <v>14</v>
      </c>
      <c r="F12" s="5">
        <f t="shared" si="0"/>
        <v>0.1</v>
      </c>
      <c r="G12" s="5">
        <f t="shared" si="1"/>
        <v>0.13333333333333333</v>
      </c>
    </row>
    <row r="13" spans="1:7">
      <c r="A13" s="3" t="s">
        <v>11</v>
      </c>
      <c r="B13" s="3" t="s">
        <v>8</v>
      </c>
      <c r="C13" s="4">
        <v>650</v>
      </c>
      <c r="D13" s="4">
        <v>95</v>
      </c>
      <c r="E13" s="4">
        <v>27</v>
      </c>
      <c r="F13" s="5">
        <f t="shared" si="0"/>
        <v>0.14615384615384616</v>
      </c>
      <c r="G13" s="5">
        <f t="shared" si="1"/>
        <v>0.28421052631578947</v>
      </c>
    </row>
    <row r="14" spans="1:7" ht="28.8">
      <c r="A14" s="3" t="s">
        <v>12</v>
      </c>
      <c r="B14" s="3" t="s">
        <v>6</v>
      </c>
      <c r="C14" s="4">
        <v>1350</v>
      </c>
      <c r="D14" s="4">
        <v>170</v>
      </c>
      <c r="E14" s="4">
        <v>24</v>
      </c>
      <c r="F14" s="5">
        <f t="shared" si="0"/>
        <v>0.12592592592592591</v>
      </c>
      <c r="G14" s="5">
        <f t="shared" si="1"/>
        <v>0.14117647058823529</v>
      </c>
    </row>
    <row r="15" spans="1:7">
      <c r="A15" s="3" t="s">
        <v>12</v>
      </c>
      <c r="B15" s="3" t="s">
        <v>7</v>
      </c>
      <c r="C15" s="4">
        <v>1100</v>
      </c>
      <c r="D15" s="4">
        <v>110</v>
      </c>
      <c r="E15" s="4">
        <v>15</v>
      </c>
      <c r="F15" s="5">
        <f t="shared" si="0"/>
        <v>0.1</v>
      </c>
      <c r="G15" s="5">
        <f t="shared" si="1"/>
        <v>0.13636363636363635</v>
      </c>
    </row>
    <row r="16" spans="1:7">
      <c r="A16" s="3" t="s">
        <v>12</v>
      </c>
      <c r="B16" s="3" t="s">
        <v>8</v>
      </c>
      <c r="C16" s="4">
        <v>700</v>
      </c>
      <c r="D16" s="4">
        <v>100</v>
      </c>
      <c r="E16" s="4">
        <v>30</v>
      </c>
      <c r="F16" s="5">
        <f t="shared" si="0"/>
        <v>0.14285714285714285</v>
      </c>
      <c r="G16" s="5">
        <f t="shared" si="1"/>
        <v>0.3</v>
      </c>
    </row>
    <row r="17" spans="1:7" ht="28.8">
      <c r="A17" s="3" t="s">
        <v>13</v>
      </c>
      <c r="B17" s="3" t="s">
        <v>6</v>
      </c>
      <c r="C17" s="4">
        <v>1400</v>
      </c>
      <c r="D17" s="4">
        <v>180</v>
      </c>
      <c r="E17" s="4">
        <v>26</v>
      </c>
      <c r="F17" s="5">
        <f t="shared" si="0"/>
        <v>0.12857142857142856</v>
      </c>
      <c r="G17" s="5">
        <f t="shared" si="1"/>
        <v>0.14444444444444443</v>
      </c>
    </row>
    <row r="18" spans="1:7">
      <c r="A18" s="3" t="s">
        <v>13</v>
      </c>
      <c r="B18" s="3" t="s">
        <v>7</v>
      </c>
      <c r="C18" s="4">
        <v>1150</v>
      </c>
      <c r="D18" s="4">
        <v>115</v>
      </c>
      <c r="E18" s="4">
        <v>16</v>
      </c>
      <c r="F18" s="5">
        <f t="shared" si="0"/>
        <v>0.1</v>
      </c>
      <c r="G18" s="5">
        <f t="shared" si="1"/>
        <v>0.1391304347826087</v>
      </c>
    </row>
    <row r="19" spans="1:7">
      <c r="A19" s="3" t="s">
        <v>13</v>
      </c>
      <c r="B19" s="3" t="s">
        <v>8</v>
      </c>
      <c r="C19" s="4">
        <v>750</v>
      </c>
      <c r="D19" s="4">
        <v>105</v>
      </c>
      <c r="E19" s="4">
        <v>32</v>
      </c>
      <c r="F19" s="5">
        <f t="shared" si="0"/>
        <v>0.14000000000000001</v>
      </c>
      <c r="G19" s="5">
        <f t="shared" si="1"/>
        <v>0.30476190476190479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D7" sqref="D7"/>
    </sheetView>
  </sheetViews>
  <sheetFormatPr defaultRowHeight="14.4"/>
  <cols>
    <col min="1" max="1" width="14.88671875" customWidth="1"/>
    <col min="2" max="2" width="17.88671875" customWidth="1"/>
  </cols>
  <sheetData>
    <row r="1" spans="1:2">
      <c r="A1" s="1" t="s">
        <v>16</v>
      </c>
      <c r="B1" s="1" t="s">
        <v>17</v>
      </c>
    </row>
    <row r="2" spans="1:2">
      <c r="A2" s="3" t="s">
        <v>18</v>
      </c>
      <c r="B2" s="3">
        <f>SUM([1]Sheet1!C:C)</f>
        <v>17250</v>
      </c>
    </row>
    <row r="3" spans="1:2">
      <c r="A3" s="3" t="s">
        <v>19</v>
      </c>
      <c r="B3" s="3">
        <f>SUM([1]Sheet1!D:D)</f>
        <v>2090</v>
      </c>
    </row>
    <row r="4" spans="1:2">
      <c r="A4" s="3" t="s">
        <v>20</v>
      </c>
      <c r="B4" s="3">
        <f>SUM([1]Sheet1!E:E)</f>
        <v>361</v>
      </c>
    </row>
    <row r="5" spans="1:2" ht="28.8">
      <c r="A5" s="3" t="s">
        <v>21</v>
      </c>
      <c r="B5" s="10">
        <f>B3/B2</f>
        <v>0.12115942028985507</v>
      </c>
    </row>
    <row r="6" spans="1:2" ht="43.2">
      <c r="A6" s="3" t="s">
        <v>22</v>
      </c>
      <c r="B6" s="10">
        <f>B4/B3</f>
        <v>0.17272727272727273</v>
      </c>
    </row>
    <row r="7" spans="1:2" ht="43.2">
      <c r="A7" s="3" t="s">
        <v>23</v>
      </c>
      <c r="B7" s="10">
        <f>B4/B2</f>
        <v>2.0927536231884057E-2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O20" sqref="O20"/>
    </sheetView>
  </sheetViews>
  <sheetFormatPr defaultRowHeight="14.4"/>
  <sheetData>
    <row r="1" spans="1:2">
      <c r="A1" s="1" t="s">
        <v>24</v>
      </c>
      <c r="B1" s="2" t="s">
        <v>25</v>
      </c>
    </row>
    <row r="2" spans="1:2">
      <c r="A2" s="3" t="s">
        <v>2</v>
      </c>
      <c r="B2" s="4">
        <v>17250</v>
      </c>
    </row>
    <row r="3" spans="1:2">
      <c r="A3" s="3" t="s">
        <v>3</v>
      </c>
      <c r="B3" s="4">
        <v>2090</v>
      </c>
    </row>
    <row r="4" spans="1:2" ht="28.8">
      <c r="A4" s="3" t="s">
        <v>4</v>
      </c>
      <c r="B4" s="4">
        <v>361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M17" sqref="M17"/>
    </sheetView>
  </sheetViews>
  <sheetFormatPr defaultRowHeight="14.4"/>
  <cols>
    <col min="4" max="4" width="16" customWidth="1"/>
    <col min="5" max="5" width="14.88671875" customWidth="1"/>
    <col min="6" max="6" width="17" customWidth="1"/>
  </cols>
  <sheetData>
    <row r="1" spans="1:6" ht="43.2">
      <c r="A1" s="1" t="s">
        <v>1</v>
      </c>
      <c r="B1" s="2" t="s">
        <v>2</v>
      </c>
      <c r="C1" s="2" t="s">
        <v>3</v>
      </c>
      <c r="D1" s="2" t="s">
        <v>4</v>
      </c>
      <c r="E1" s="2" t="s">
        <v>32</v>
      </c>
      <c r="F1" s="2" t="s">
        <v>33</v>
      </c>
    </row>
    <row r="2" spans="1:6">
      <c r="A2" s="3" t="s">
        <v>7</v>
      </c>
      <c r="B2" s="4">
        <v>6150</v>
      </c>
      <c r="C2" s="4">
        <v>615</v>
      </c>
      <c r="D2" s="4">
        <v>80</v>
      </c>
      <c r="E2" s="9">
        <f>C2/B2</f>
        <v>0.1</v>
      </c>
      <c r="F2" s="9">
        <f>D2/C2</f>
        <v>0.13008130081300814</v>
      </c>
    </row>
    <row r="3" spans="1:6" ht="28.8">
      <c r="A3" s="3" t="s">
        <v>6</v>
      </c>
      <c r="B3" s="4">
        <v>7350</v>
      </c>
      <c r="C3" s="4">
        <v>920</v>
      </c>
      <c r="D3" s="4">
        <v>125</v>
      </c>
      <c r="E3" s="9">
        <f t="shared" ref="E3:E4" si="0">C3/B3</f>
        <v>0.1251700680272109</v>
      </c>
      <c r="F3" s="9">
        <f t="shared" ref="F3:F4" si="1">D3/C3</f>
        <v>0.1358695652173913</v>
      </c>
    </row>
    <row r="4" spans="1:6">
      <c r="A4" s="3" t="s">
        <v>8</v>
      </c>
      <c r="B4" s="4">
        <v>3750</v>
      </c>
      <c r="C4" s="4">
        <v>555</v>
      </c>
      <c r="D4" s="4">
        <v>156</v>
      </c>
      <c r="E4" s="9">
        <f t="shared" si="0"/>
        <v>0.14799999999999999</v>
      </c>
      <c r="F4" s="9">
        <f t="shared" si="1"/>
        <v>0.2810810810810811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J19" sqref="J19"/>
    </sheetView>
  </sheetViews>
  <sheetFormatPr defaultRowHeight="14.4"/>
  <cols>
    <col min="1" max="1" width="18.21875" customWidth="1"/>
    <col min="4" max="4" width="17.21875" customWidth="1"/>
    <col min="5" max="5" width="15.44140625" customWidth="1"/>
  </cols>
  <sheetData>
    <row r="1" spans="1:5">
      <c r="A1" s="1" t="s">
        <v>34</v>
      </c>
      <c r="B1" s="2" t="s">
        <v>35</v>
      </c>
      <c r="C1" s="2" t="s">
        <v>36</v>
      </c>
      <c r="D1" s="2" t="s">
        <v>37</v>
      </c>
      <c r="E1" s="2" t="s">
        <v>40</v>
      </c>
    </row>
    <row r="2" spans="1:5">
      <c r="A2" s="3" t="s">
        <v>38</v>
      </c>
      <c r="B2" s="4">
        <v>17250</v>
      </c>
      <c r="C2" s="4">
        <v>2090</v>
      </c>
      <c r="D2" s="9">
        <f>2090/17250</f>
        <v>0.12115942028985507</v>
      </c>
      <c r="E2" s="9">
        <f>1-(2090/17250)</f>
        <v>0.87884057971014495</v>
      </c>
    </row>
    <row r="3" spans="1:5">
      <c r="A3" s="3" t="s">
        <v>39</v>
      </c>
      <c r="B3" s="4">
        <v>2090</v>
      </c>
      <c r="C3" s="4">
        <v>361</v>
      </c>
      <c r="D3" s="9">
        <f>361/2090</f>
        <v>0.17272727272727273</v>
      </c>
      <c r="E3" s="9">
        <f>1-(361/2090)</f>
        <v>0.82727272727272727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I49" sqref="I49"/>
    </sheetView>
  </sheetViews>
  <sheetFormatPr defaultRowHeight="14.4"/>
  <cols>
    <col min="1" max="1" width="15.33203125" customWidth="1"/>
    <col min="2" max="2" width="24.88671875" customWidth="1"/>
    <col min="3" max="3" width="20.109375" customWidth="1"/>
    <col min="4" max="4" width="7.44140625" customWidth="1"/>
    <col min="9" max="9" width="13.44140625" customWidth="1"/>
    <col min="10" max="10" width="28.88671875" customWidth="1"/>
  </cols>
  <sheetData>
    <row r="1" spans="1:10">
      <c r="A1" s="1"/>
      <c r="B1" s="1"/>
    </row>
    <row r="2" spans="1:10" ht="25.8">
      <c r="A2" s="11"/>
      <c r="B2" s="12"/>
      <c r="D2" s="16" t="s">
        <v>41</v>
      </c>
      <c r="E2" s="14"/>
      <c r="F2" s="14"/>
      <c r="G2" s="14"/>
      <c r="H2" s="14"/>
      <c r="I2" s="14"/>
      <c r="J2" s="14"/>
    </row>
    <row r="3" spans="1:10">
      <c r="A3" s="11"/>
      <c r="B3" s="12"/>
    </row>
    <row r="4" spans="1:10" ht="86.4">
      <c r="A4" s="11"/>
      <c r="B4" s="11" t="s">
        <v>42</v>
      </c>
      <c r="C4" s="1"/>
      <c r="D4" s="1"/>
    </row>
    <row r="5" spans="1:10">
      <c r="A5" s="11"/>
      <c r="B5" s="13"/>
      <c r="C5" s="11"/>
      <c r="D5" s="12"/>
    </row>
    <row r="6" spans="1:10">
      <c r="A6" s="11"/>
      <c r="B6" s="13"/>
      <c r="C6" s="11"/>
      <c r="D6" s="12"/>
    </row>
    <row r="7" spans="1:10">
      <c r="A7" s="11"/>
      <c r="B7" s="13"/>
      <c r="C7" s="11"/>
      <c r="D7" s="11"/>
    </row>
    <row r="8" spans="1:10">
      <c r="C8" s="11"/>
      <c r="D8" s="13"/>
      <c r="E8" s="15"/>
      <c r="F8" s="15"/>
      <c r="G8" s="15"/>
      <c r="H8" s="15"/>
      <c r="I8" s="15"/>
      <c r="J8" s="15"/>
    </row>
    <row r="9" spans="1:10">
      <c r="C9" s="11"/>
      <c r="D9" s="13"/>
    </row>
    <row r="10" spans="1:10">
      <c r="C10" s="11"/>
      <c r="D10" s="13"/>
    </row>
  </sheetData>
  <mergeCells count="2">
    <mergeCell ref="E8:J8"/>
    <mergeCell ref="D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Channel_Performance</vt:lpstr>
      <vt:lpstr>Monthly_Trend</vt:lpstr>
      <vt:lpstr>dataset </vt:lpstr>
      <vt:lpstr>KPI_Summary</vt:lpstr>
      <vt:lpstr>Funnel_Analysis</vt:lpstr>
      <vt:lpstr>Channel_Analysis</vt:lpstr>
      <vt:lpstr>Drop_Off_Analysis</vt:lpstr>
      <vt:lpstr>Executive 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2026-06-25T13:27:52Z</dcterms:created>
  <dcterms:modified xsi:type="dcterms:W3CDTF">2026-06-25T15:06:55Z</dcterms:modified>
</cp:coreProperties>
</file>